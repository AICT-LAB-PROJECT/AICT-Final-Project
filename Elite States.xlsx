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BSCS\Semester 1 Resources\AICT Lab\Final Project\"/>
    </mc:Choice>
  </mc:AlternateContent>
  <bookViews>
    <workbookView xWindow="0" yWindow="0" windowWidth="2370" windowHeight="0"/>
  </bookViews>
  <sheets>
    <sheet name="Data" sheetId="1" r:id="rId1"/>
    <sheet name="Summari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5" i="1"/>
  <c r="J7" i="1"/>
  <c r="J9" i="1"/>
  <c r="J11" i="1"/>
  <c r="J13" i="1"/>
  <c r="C3" i="2"/>
  <c r="C16" i="2"/>
  <c r="C17" i="2"/>
  <c r="C18" i="2"/>
  <c r="C15" i="2"/>
  <c r="C11" i="2"/>
  <c r="C10" i="2"/>
  <c r="C5" i="2"/>
  <c r="C6" i="2"/>
  <c r="C4" i="2"/>
  <c r="C12" i="2" l="1"/>
  <c r="C7" i="2"/>
  <c r="C19" i="2"/>
</calcChain>
</file>

<file path=xl/sharedStrings.xml><?xml version="1.0" encoding="utf-8"?>
<sst xmlns="http://schemas.openxmlformats.org/spreadsheetml/2006/main" count="101" uniqueCount="63">
  <si>
    <t>Sr.</t>
  </si>
  <si>
    <t>Property ID</t>
  </si>
  <si>
    <t>Property Title</t>
  </si>
  <si>
    <t>Category</t>
  </si>
  <si>
    <t>Status</t>
  </si>
  <si>
    <t xml:space="preserve">City </t>
  </si>
  <si>
    <t>Price</t>
  </si>
  <si>
    <t>1 Kanal Fully Furnished Ultra Modern &amp; Elegant Design House</t>
  </si>
  <si>
    <t>House</t>
  </si>
  <si>
    <t>For Sale</t>
  </si>
  <si>
    <t>Lahore</t>
  </si>
  <si>
    <t>8.5 Crore</t>
  </si>
  <si>
    <t>1 Bed Room Luxury Appartment</t>
  </si>
  <si>
    <t>For Rent</t>
  </si>
  <si>
    <t>Appartment</t>
  </si>
  <si>
    <t>1.8 Lakh/ Month</t>
  </si>
  <si>
    <t>Luxury 5 Marla Brand New House</t>
  </si>
  <si>
    <t>2.74 Crore</t>
  </si>
  <si>
    <t>A fully Furnished Office</t>
  </si>
  <si>
    <t>Office</t>
  </si>
  <si>
    <t>50k /Month</t>
  </si>
  <si>
    <t>1 Kanal Brand New Designer House</t>
  </si>
  <si>
    <t>14.5 Crore</t>
  </si>
  <si>
    <t>Islamabad</t>
  </si>
  <si>
    <t>3 Bed Appartment</t>
  </si>
  <si>
    <t>1.24 Lakh/ Month</t>
  </si>
  <si>
    <t>Karachi</t>
  </si>
  <si>
    <t>2 Kanal Brand New Faisal Rasul Design Most Beautiful Fully Furnished Bungalow</t>
  </si>
  <si>
    <t>48.5 Crore</t>
  </si>
  <si>
    <t>7 Marla Ground Portion</t>
  </si>
  <si>
    <t>Rawalpindi</t>
  </si>
  <si>
    <t>70k /Month</t>
  </si>
  <si>
    <t>Commercial Building</t>
  </si>
  <si>
    <t>Building</t>
  </si>
  <si>
    <t>450 Crore</t>
  </si>
  <si>
    <t>Open Plan Office 15 Persons</t>
  </si>
  <si>
    <t>6.78 Lakh/Month</t>
  </si>
  <si>
    <t>Brand New Bungalow</t>
  </si>
  <si>
    <t>45 Crore</t>
  </si>
  <si>
    <t>1.4 Lakh/Month</t>
  </si>
  <si>
    <t>10 Marla House</t>
  </si>
  <si>
    <t>Area (square feet)</t>
  </si>
  <si>
    <t>Price (Words)</t>
  </si>
  <si>
    <t>LHR-S-110</t>
  </si>
  <si>
    <t>LHR-R-309</t>
  </si>
  <si>
    <t>LHR-S-743</t>
  </si>
  <si>
    <t>LHR-R-924</t>
  </si>
  <si>
    <t>ISL-S-144</t>
  </si>
  <si>
    <t>LHR-S-557</t>
  </si>
  <si>
    <t>RWP-R-698</t>
  </si>
  <si>
    <t>ISL-S-242</t>
  </si>
  <si>
    <t>LHR-R-442</t>
  </si>
  <si>
    <t>KHI-R-720</t>
  </si>
  <si>
    <t>KHI-R-971</t>
  </si>
  <si>
    <t>KHI-S-823</t>
  </si>
  <si>
    <t>ELITE HOMES</t>
  </si>
  <si>
    <t>Total</t>
  </si>
  <si>
    <t>Category Wise</t>
  </si>
  <si>
    <t>Status Wise</t>
  </si>
  <si>
    <t>Cities Wise</t>
  </si>
  <si>
    <t>Mortgage Calculator</t>
  </si>
  <si>
    <t>Annual Interest Rate</t>
  </si>
  <si>
    <t>Loan Term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</si>
</sst>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22"/>
      <color theme="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strike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Summaries!$B$3:$B$6</c:f>
              <c:strCache>
                <c:ptCount val="4"/>
                <c:pt idx="0">
                  <c:v>House</c:v>
                </c:pt>
                <c:pt idx="1">
                  <c:v>Appartment</c:v>
                </c:pt>
                <c:pt idx="2">
                  <c:v>Office</c:v>
                </c:pt>
                <c:pt idx="3">
                  <c:v>Building</c:v>
                </c:pt>
              </c:strCache>
            </c:strRef>
          </c:cat>
          <c:val>
            <c:numRef>
              <c:f>Summaries!$C$3:$C$6</c:f>
              <c:numCache>
                <c:formatCode>General</c:formatCode>
                <c:ptCount val="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5-45FB-984B-4E6680AD62D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Wise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Summaries!$B$10:$B$11</c:f>
              <c:strCache>
                <c:ptCount val="2"/>
                <c:pt idx="0">
                  <c:v>For Sale</c:v>
                </c:pt>
                <c:pt idx="1">
                  <c:v>For Rent</c:v>
                </c:pt>
              </c:strCache>
            </c:strRef>
          </c:cat>
          <c:val>
            <c:numRef>
              <c:f>Summaries!$C$10:$C$11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F-4552-9098-DB5F065AD8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Cities</a:t>
            </a:r>
            <a:r>
              <a:rPr lang="en-US" baseline="0"/>
              <a:t> Wise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Summaries!$B$15:$B$18</c:f>
              <c:strCache>
                <c:ptCount val="4"/>
                <c:pt idx="0">
                  <c:v>Islamabad</c:v>
                </c:pt>
                <c:pt idx="1">
                  <c:v>Lahore</c:v>
                </c:pt>
                <c:pt idx="2">
                  <c:v>Karachi</c:v>
                </c:pt>
                <c:pt idx="3">
                  <c:v>Rawalpindi</c:v>
                </c:pt>
              </c:strCache>
            </c:strRef>
          </c:cat>
          <c:val>
            <c:numRef>
              <c:f>Summaries!$C$15:$C$18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2-49EA-A85D-A5B28FC610E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528637</xdr:colOff>
      <xdr:row>0</xdr:row>
      <xdr:rowOff>9525</xdr:rowOff>
    </xdr:from>
    <xdr:to>
      <xdr:col>13</xdr:col>
      <xdr:colOff>223837</xdr:colOff>
      <xdr:row>14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226079</xdr:colOff>
      <xdr:row>0</xdr:row>
      <xdr:rowOff>31937</xdr:rowOff>
    </xdr:from>
    <xdr:to>
      <xdr:col>21</xdr:col>
      <xdr:colOff>530878</xdr:colOff>
      <xdr:row>14</xdr:row>
      <xdr:rowOff>108137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521074</xdr:colOff>
      <xdr:row>16</xdr:row>
      <xdr:rowOff>17930</xdr:rowOff>
    </xdr:from>
    <xdr:to>
      <xdr:col>13</xdr:col>
      <xdr:colOff>252132</xdr:colOff>
      <xdr:row>30</xdr:row>
      <xdr:rowOff>94130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J14" totalsRowShown="0" headerRowDxfId="0" dataDxfId="11">
  <tableColumns count="10">
    <tableColumn id="1" name="Sr." dataDxfId="10"/>
    <tableColumn id="2" name="Property ID" dataDxfId="9"/>
    <tableColumn id="3" name="Property Title" dataDxfId="8"/>
    <tableColumn id="4" name="Category" dataDxfId="7"/>
    <tableColumn id="5" name="Status" dataDxfId="6"/>
    <tableColumn id="6" name="City " dataDxfId="5"/>
    <tableColumn id="7" name="Area (square feet)" dataDxfId="4"/>
    <tableColumn id="9" name="Price" dataDxfId="3">
      <calculatedColumnFormula>2.74*M1</calculatedColumnFormula>
    </tableColumn>
    <tableColumn id="10" name="Price (Words)" dataDxfId="2"/>
    <tableColumn id="8" name="Mortgage Calculator" dataDxfId="1">
      <calculatedColumnFormula>PMT(M3/12,$N$3*12,-Table1[[#This Row],[Price]])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zoomScale="70" zoomScaleNormal="70" workbookViewId="0">
      <selection activeCell="F4" sqref="F4"/>
    </sheetView>
  </sheetViews>
  <sheetFormatPr defaultRowHeight="15" x14ac:dyDescent="0.25"/>
  <cols>
    <col min="1" max="1" width="5.5703125" bestFit="1" customWidth="1"/>
    <col min="2" max="2" width="19.5703125" customWidth="1"/>
    <col min="3" max="3" width="79" bestFit="1" customWidth="1"/>
    <col min="4" max="4" width="21.42578125" customWidth="1"/>
    <col min="5" max="5" width="23.42578125" customWidth="1"/>
    <col min="6" max="6" width="30" customWidth="1"/>
    <col min="7" max="9" width="26.85546875" customWidth="1"/>
    <col min="10" max="10" width="28" customWidth="1"/>
    <col min="13" max="13" width="24.5703125" bestFit="1" customWidth="1"/>
    <col min="14" max="14" width="19.5703125" bestFit="1" customWidth="1"/>
  </cols>
  <sheetData>
    <row r="1" spans="1:14" ht="60" customHeight="1" x14ac:dyDescent="0.25">
      <c r="A1" s="6" t="s">
        <v>55</v>
      </c>
      <c r="B1" s="6"/>
      <c r="C1" s="6"/>
      <c r="D1" s="6"/>
      <c r="E1" s="6"/>
      <c r="F1" s="6"/>
      <c r="G1" s="6"/>
      <c r="H1" s="6"/>
      <c r="I1" s="6"/>
      <c r="J1" s="6"/>
    </row>
    <row r="2" spans="1:14" ht="43.5" customHeight="1" x14ac:dyDescent="0.25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41</v>
      </c>
      <c r="H2" s="14" t="s">
        <v>6</v>
      </c>
      <c r="I2" s="14" t="s">
        <v>42</v>
      </c>
      <c r="J2" s="14" t="s">
        <v>60</v>
      </c>
      <c r="M2" s="4" t="s">
        <v>61</v>
      </c>
      <c r="N2" s="4" t="s">
        <v>62</v>
      </c>
    </row>
    <row r="3" spans="1:14" ht="43.5" customHeight="1" x14ac:dyDescent="0.25">
      <c r="A3" s="2">
        <v>1</v>
      </c>
      <c r="B3" s="2" t="s">
        <v>43</v>
      </c>
      <c r="C3" s="3" t="s">
        <v>7</v>
      </c>
      <c r="D3" s="1" t="s">
        <v>8</v>
      </c>
      <c r="E3" s="1" t="s">
        <v>9</v>
      </c>
      <c r="F3" s="1" t="s">
        <v>10</v>
      </c>
      <c r="G3" s="1">
        <v>5445</v>
      </c>
      <c r="H3" s="1">
        <v>85000000</v>
      </c>
      <c r="I3" s="1" t="s">
        <v>11</v>
      </c>
      <c r="J3" s="13">
        <f>PMT(M3/12,$N$3*12,-Table1[[#This Row],[Price]])</f>
        <v>509617.9463798395</v>
      </c>
      <c r="M3" s="5">
        <v>0.06</v>
      </c>
      <c r="N3" s="5">
        <v>30</v>
      </c>
    </row>
    <row r="4" spans="1:14" ht="43.5" customHeight="1" x14ac:dyDescent="0.25">
      <c r="A4" s="2">
        <v>2</v>
      </c>
      <c r="B4" s="2" t="s">
        <v>44</v>
      </c>
      <c r="C4" s="3" t="s">
        <v>12</v>
      </c>
      <c r="D4" s="1" t="s">
        <v>14</v>
      </c>
      <c r="E4" s="1" t="s">
        <v>13</v>
      </c>
      <c r="F4" s="1" t="s">
        <v>10</v>
      </c>
      <c r="G4" s="1">
        <v>700</v>
      </c>
      <c r="H4" s="1">
        <v>180000</v>
      </c>
      <c r="I4" s="1" t="s">
        <v>15</v>
      </c>
      <c r="J4" s="13"/>
    </row>
    <row r="5" spans="1:14" ht="43.5" customHeight="1" x14ac:dyDescent="0.25">
      <c r="A5" s="2">
        <v>3</v>
      </c>
      <c r="B5" s="2" t="s">
        <v>45</v>
      </c>
      <c r="C5" s="3" t="s">
        <v>16</v>
      </c>
      <c r="D5" s="1" t="s">
        <v>8</v>
      </c>
      <c r="E5" s="1" t="s">
        <v>9</v>
      </c>
      <c r="F5" s="1" t="s">
        <v>10</v>
      </c>
      <c r="G5" s="1">
        <v>1361.25</v>
      </c>
      <c r="H5" s="1">
        <v>27400000.000000004</v>
      </c>
      <c r="I5" s="1" t="s">
        <v>17</v>
      </c>
      <c r="J5" s="13">
        <f>PMT(M5/12,$N$3*12,-Table1[[#This Row],[Price]])</f>
        <v>76111.111111111124</v>
      </c>
    </row>
    <row r="6" spans="1:14" ht="43.5" customHeight="1" x14ac:dyDescent="0.25">
      <c r="A6" s="2">
        <v>4</v>
      </c>
      <c r="B6" s="2" t="s">
        <v>46</v>
      </c>
      <c r="C6" s="3" t="s">
        <v>18</v>
      </c>
      <c r="D6" s="1" t="s">
        <v>19</v>
      </c>
      <c r="E6" s="1" t="s">
        <v>13</v>
      </c>
      <c r="F6" s="1" t="s">
        <v>10</v>
      </c>
      <c r="G6" s="1">
        <v>432</v>
      </c>
      <c r="H6" s="1">
        <v>50000</v>
      </c>
      <c r="I6" s="1" t="s">
        <v>20</v>
      </c>
      <c r="J6" s="13"/>
    </row>
    <row r="7" spans="1:14" ht="43.5" customHeight="1" x14ac:dyDescent="0.25">
      <c r="A7" s="2">
        <v>5</v>
      </c>
      <c r="B7" s="2" t="s">
        <v>47</v>
      </c>
      <c r="C7" s="3" t="s">
        <v>21</v>
      </c>
      <c r="D7" s="1" t="s">
        <v>8</v>
      </c>
      <c r="E7" s="1" t="s">
        <v>9</v>
      </c>
      <c r="F7" s="1" t="s">
        <v>23</v>
      </c>
      <c r="G7" s="1">
        <v>5445</v>
      </c>
      <c r="H7" s="1">
        <v>145000000</v>
      </c>
      <c r="I7" s="1" t="s">
        <v>22</v>
      </c>
      <c r="J7" s="13">
        <f>PMT(M7/12,$N$3*12,-Table1[[#This Row],[Price]])</f>
        <v>402777.77777777775</v>
      </c>
    </row>
    <row r="8" spans="1:14" ht="43.5" customHeight="1" x14ac:dyDescent="0.25">
      <c r="A8" s="2">
        <v>6</v>
      </c>
      <c r="B8" s="2" t="s">
        <v>52</v>
      </c>
      <c r="C8" s="3" t="s">
        <v>24</v>
      </c>
      <c r="D8" s="1" t="s">
        <v>14</v>
      </c>
      <c r="E8" s="1" t="s">
        <v>13</v>
      </c>
      <c r="F8" s="1" t="s">
        <v>26</v>
      </c>
      <c r="G8" s="1">
        <v>1700</v>
      </c>
      <c r="H8" s="1">
        <v>124000</v>
      </c>
      <c r="I8" s="1" t="s">
        <v>25</v>
      </c>
      <c r="J8" s="13"/>
    </row>
    <row r="9" spans="1:14" ht="43.5" customHeight="1" x14ac:dyDescent="0.25">
      <c r="A9" s="2">
        <v>7</v>
      </c>
      <c r="B9" s="2" t="s">
        <v>48</v>
      </c>
      <c r="C9" s="3" t="s">
        <v>27</v>
      </c>
      <c r="D9" s="1" t="s">
        <v>8</v>
      </c>
      <c r="E9" s="1" t="s">
        <v>9</v>
      </c>
      <c r="F9" s="1" t="s">
        <v>10</v>
      </c>
      <c r="G9" s="1">
        <v>10890</v>
      </c>
      <c r="H9" s="1">
        <v>4850000000</v>
      </c>
      <c r="I9" s="1" t="s">
        <v>28</v>
      </c>
      <c r="J9" s="13">
        <f>PMT(M9/12,$N$3*12,-Table1[[#This Row],[Price]])</f>
        <v>13472222.222222222</v>
      </c>
    </row>
    <row r="10" spans="1:14" ht="43.5" customHeight="1" x14ac:dyDescent="0.25">
      <c r="A10" s="2">
        <v>8</v>
      </c>
      <c r="B10" s="2" t="s">
        <v>49</v>
      </c>
      <c r="C10" s="3" t="s">
        <v>29</v>
      </c>
      <c r="D10" s="1" t="s">
        <v>14</v>
      </c>
      <c r="E10" s="1" t="s">
        <v>13</v>
      </c>
      <c r="F10" s="1" t="s">
        <v>30</v>
      </c>
      <c r="G10" s="1">
        <v>1905.75</v>
      </c>
      <c r="H10" s="1">
        <v>70000</v>
      </c>
      <c r="I10" s="1" t="s">
        <v>31</v>
      </c>
      <c r="J10" s="13"/>
    </row>
    <row r="11" spans="1:14" ht="43.5" customHeight="1" x14ac:dyDescent="0.25">
      <c r="A11" s="2">
        <v>9</v>
      </c>
      <c r="B11" s="2" t="s">
        <v>50</v>
      </c>
      <c r="C11" s="3" t="s">
        <v>32</v>
      </c>
      <c r="D11" s="1" t="s">
        <v>33</v>
      </c>
      <c r="E11" s="1" t="s">
        <v>9</v>
      </c>
      <c r="F11" s="1" t="s">
        <v>23</v>
      </c>
      <c r="G11" s="1">
        <v>16845</v>
      </c>
      <c r="H11" s="1">
        <v>4500000000</v>
      </c>
      <c r="I11" s="1" t="s">
        <v>34</v>
      </c>
      <c r="J11" s="13">
        <f>PMT(M11/12,$N$3*12,-Table1[[#This Row],[Price]])</f>
        <v>12500000</v>
      </c>
    </row>
    <row r="12" spans="1:14" ht="43.5" customHeight="1" x14ac:dyDescent="0.25">
      <c r="A12" s="2">
        <v>10</v>
      </c>
      <c r="B12" s="2" t="s">
        <v>53</v>
      </c>
      <c r="C12" s="3" t="s">
        <v>35</v>
      </c>
      <c r="D12" s="1" t="s">
        <v>19</v>
      </c>
      <c r="E12" s="1" t="s">
        <v>13</v>
      </c>
      <c r="F12" s="1" t="s">
        <v>26</v>
      </c>
      <c r="G12" s="1">
        <v>2000</v>
      </c>
      <c r="H12" s="1">
        <v>678000</v>
      </c>
      <c r="I12" s="1" t="s">
        <v>36</v>
      </c>
      <c r="J12" s="13"/>
    </row>
    <row r="13" spans="1:14" ht="43.5" customHeight="1" x14ac:dyDescent="0.25">
      <c r="A13" s="2">
        <v>11</v>
      </c>
      <c r="B13" s="2" t="s">
        <v>54</v>
      </c>
      <c r="C13" s="3" t="s">
        <v>37</v>
      </c>
      <c r="D13" s="1" t="s">
        <v>8</v>
      </c>
      <c r="E13" s="1" t="s">
        <v>9</v>
      </c>
      <c r="F13" s="1" t="s">
        <v>26</v>
      </c>
      <c r="G13" s="1">
        <v>8167.5</v>
      </c>
      <c r="H13" s="1">
        <v>450000000</v>
      </c>
      <c r="I13" s="1" t="s">
        <v>38</v>
      </c>
      <c r="J13" s="13">
        <f>PMT(M13/12,$N$3*12,-Table1[[#This Row],[Price]])</f>
        <v>1250000</v>
      </c>
    </row>
    <row r="14" spans="1:14" ht="43.5" customHeight="1" x14ac:dyDescent="0.25">
      <c r="A14" s="2">
        <v>12</v>
      </c>
      <c r="B14" s="2" t="s">
        <v>51</v>
      </c>
      <c r="C14" s="3" t="s">
        <v>40</v>
      </c>
      <c r="D14" s="1" t="s">
        <v>8</v>
      </c>
      <c r="E14" s="1" t="s">
        <v>13</v>
      </c>
      <c r="F14" s="1" t="s">
        <v>10</v>
      </c>
      <c r="G14" s="1">
        <v>2722.51</v>
      </c>
      <c r="H14" s="1">
        <v>140000</v>
      </c>
      <c r="I14" s="1" t="s">
        <v>39</v>
      </c>
      <c r="J14" s="13"/>
    </row>
  </sheetData>
  <mergeCells count="1">
    <mergeCell ref="A1:J1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9"/>
  <sheetViews>
    <sheetView zoomScale="55" zoomScaleNormal="55" workbookViewId="0">
      <selection activeCell="Q22" sqref="Q22"/>
    </sheetView>
  </sheetViews>
  <sheetFormatPr defaultRowHeight="15" x14ac:dyDescent="0.25"/>
  <cols>
    <col min="2" max="2" width="15" bestFit="1" customWidth="1"/>
    <col min="3" max="3" width="10" style="11" customWidth="1"/>
  </cols>
  <sheetData>
    <row r="2" spans="2:3" ht="15.75" x14ac:dyDescent="0.25">
      <c r="B2" s="12" t="s">
        <v>57</v>
      </c>
      <c r="C2" s="12"/>
    </row>
    <row r="3" spans="2:3" x14ac:dyDescent="0.25">
      <c r="B3" s="8" t="s">
        <v>8</v>
      </c>
      <c r="C3" s="9">
        <f>COUNTIF(Table1[Category],Summaries!B3)</f>
        <v>6</v>
      </c>
    </row>
    <row r="4" spans="2:3" x14ac:dyDescent="0.25">
      <c r="B4" s="7" t="s">
        <v>14</v>
      </c>
      <c r="C4" s="10">
        <f>COUNTIF(Table1[Category],Summaries!B4)</f>
        <v>3</v>
      </c>
    </row>
    <row r="5" spans="2:3" x14ac:dyDescent="0.25">
      <c r="B5" s="8" t="s">
        <v>19</v>
      </c>
      <c r="C5" s="9">
        <f>COUNTIF(Table1[Category],Summaries!B5)</f>
        <v>2</v>
      </c>
    </row>
    <row r="6" spans="2:3" x14ac:dyDescent="0.25">
      <c r="B6" s="7" t="s">
        <v>33</v>
      </c>
      <c r="C6" s="10">
        <f>COUNTIF(Table1[Category],Summaries!B6)</f>
        <v>1</v>
      </c>
    </row>
    <row r="7" spans="2:3" x14ac:dyDescent="0.25">
      <c r="B7" s="8" t="s">
        <v>56</v>
      </c>
      <c r="C7" s="9">
        <f>SUM(C3:C6)</f>
        <v>12</v>
      </c>
    </row>
    <row r="9" spans="2:3" ht="15.75" x14ac:dyDescent="0.25">
      <c r="B9" s="12" t="s">
        <v>58</v>
      </c>
      <c r="C9" s="12"/>
    </row>
    <row r="10" spans="2:3" x14ac:dyDescent="0.25">
      <c r="B10" s="8" t="s">
        <v>9</v>
      </c>
      <c r="C10" s="9">
        <f>COUNTIF(Table1[Status],Summaries!B10)</f>
        <v>6</v>
      </c>
    </row>
    <row r="11" spans="2:3" x14ac:dyDescent="0.25">
      <c r="B11" s="7" t="s">
        <v>13</v>
      </c>
      <c r="C11" s="10">
        <f>COUNTIF(Table1[Status],Summaries!B11)</f>
        <v>6</v>
      </c>
    </row>
    <row r="12" spans="2:3" x14ac:dyDescent="0.25">
      <c r="B12" s="8" t="s">
        <v>56</v>
      </c>
      <c r="C12" s="9">
        <f>SUM(C10:C11)</f>
        <v>12</v>
      </c>
    </row>
    <row r="14" spans="2:3" ht="15.75" x14ac:dyDescent="0.25">
      <c r="B14" s="12" t="s">
        <v>59</v>
      </c>
      <c r="C14" s="12"/>
    </row>
    <row r="15" spans="2:3" x14ac:dyDescent="0.25">
      <c r="B15" s="8" t="s">
        <v>23</v>
      </c>
      <c r="C15" s="9">
        <f>COUNTIF(Table1[[City ]],Summaries!B15)</f>
        <v>2</v>
      </c>
    </row>
    <row r="16" spans="2:3" x14ac:dyDescent="0.25">
      <c r="B16" s="7" t="s">
        <v>10</v>
      </c>
      <c r="C16" s="10">
        <f>COUNTIF(Table1[[City ]],Summaries!B16)</f>
        <v>6</v>
      </c>
    </row>
    <row r="17" spans="2:3" x14ac:dyDescent="0.25">
      <c r="B17" s="8" t="s">
        <v>26</v>
      </c>
      <c r="C17" s="9">
        <f>COUNTIF(Table1[[City ]],Summaries!B17)</f>
        <v>3</v>
      </c>
    </row>
    <row r="18" spans="2:3" x14ac:dyDescent="0.25">
      <c r="B18" s="7" t="s">
        <v>30</v>
      </c>
      <c r="C18" s="10">
        <f>COUNTIF(Table1[[City ]],Summaries!B18)</f>
        <v>1</v>
      </c>
    </row>
    <row r="19" spans="2:3" x14ac:dyDescent="0.25">
      <c r="B19" s="8" t="s">
        <v>56</v>
      </c>
      <c r="C19" s="9">
        <f>SUM(C15:C18)</f>
        <v>12</v>
      </c>
    </row>
  </sheetData>
  <mergeCells count="3">
    <mergeCell ref="B2:C2"/>
    <mergeCell ref="B9:C9"/>
    <mergeCell ref="B14: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</dc:creator>
  <cp:lastModifiedBy>Fadi</cp:lastModifiedBy>
  <dcterms:created xsi:type="dcterms:W3CDTF">2026-01-04T11:32:50Z</dcterms:created>
  <dcterms:modified xsi:type="dcterms:W3CDTF">2026-01-04T16:27:36Z</dcterms:modified>
</cp:coreProperties>
</file>